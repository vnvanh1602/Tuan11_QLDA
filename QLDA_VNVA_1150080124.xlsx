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B6B716E-ADAF-46F1-9931-497DF6F6E95A}" xr6:coauthVersionLast="47" xr6:coauthVersionMax="47" xr10:uidLastSave="{00000000-0000-0000-0000-000000000000}"/>
  <bookViews>
    <workbookView xWindow="-110" yWindow="-110" windowWidth="19420" windowHeight="10420" xr2:uid="{CCE06E97-2432-41AA-8E14-24975DF30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1" l="1"/>
  <c r="E31" i="1"/>
  <c r="D31" i="1"/>
  <c r="C31" i="1"/>
  <c r="B31" i="1"/>
  <c r="F30" i="1"/>
  <c r="C30" i="1"/>
  <c r="D30" i="1"/>
  <c r="E30" i="1"/>
  <c r="B30" i="1"/>
  <c r="F28" i="1"/>
  <c r="F24" i="1"/>
  <c r="C24" i="1"/>
  <c r="D24" i="1"/>
  <c r="E24" i="1"/>
  <c r="B24" i="1"/>
  <c r="E28" i="1"/>
  <c r="D28" i="1"/>
  <c r="C28" i="1"/>
  <c r="B14" i="1"/>
  <c r="B7" i="1"/>
</calcChain>
</file>

<file path=xl/sharedStrings.xml><?xml version="1.0" encoding="utf-8"?>
<sst xmlns="http://schemas.openxmlformats.org/spreadsheetml/2006/main" count="49" uniqueCount="36">
  <si>
    <t>PROJECT 1</t>
  </si>
  <si>
    <t>YEAR 1</t>
  </si>
  <si>
    <t>YEAR 2</t>
  </si>
  <si>
    <t>YEAR 3</t>
  </si>
  <si>
    <t>YEAR 4</t>
  </si>
  <si>
    <t>YEAR 5</t>
  </si>
  <si>
    <t>TOTAL</t>
  </si>
  <si>
    <t>$</t>
  </si>
  <si>
    <t>NPV</t>
  </si>
  <si>
    <t>Tỉ lệ chiết khấu</t>
  </si>
  <si>
    <t>Lợi ích</t>
  </si>
  <si>
    <t>Chi phí</t>
  </si>
  <si>
    <t>Dòng tiền</t>
  </si>
  <si>
    <t xml:space="preserve">Chi phí </t>
  </si>
  <si>
    <t>Dong tiền</t>
  </si>
  <si>
    <t>Công thức</t>
  </si>
  <si>
    <t>Cả hai dự án đều sinh lời (NPV dương)</t>
  </si>
  <si>
    <t>Dự án 2 sẽ có tiềm năng hơn do lợi nhuận dự án 2 lớn hơn dự án 1</t>
  </si>
  <si>
    <t>PROJECT 2</t>
  </si>
  <si>
    <t>A</t>
  </si>
  <si>
    <t>B</t>
  </si>
  <si>
    <t>C</t>
  </si>
  <si>
    <t>D</t>
  </si>
  <si>
    <t>E</t>
  </si>
  <si>
    <t>F</t>
  </si>
  <si>
    <t>Giả sử dự án hoàn thành trong Năm 0</t>
  </si>
  <si>
    <t>Tổng</t>
  </si>
  <si>
    <t>Hệ số chiết khấu</t>
  </si>
  <si>
    <t>Chi phí đã chiết khấu</t>
  </si>
  <si>
    <t>-</t>
  </si>
  <si>
    <t>Lợi ích đã chiết khấu</t>
  </si>
  <si>
    <t>Lợi ích đã chiết khấu - chi phí</t>
  </si>
  <si>
    <t>Lợi ích - chi phí lũy kế</t>
  </si>
  <si>
    <t>ROI</t>
  </si>
  <si>
    <t>?</t>
  </si>
  <si>
    <t>Bài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</si>
</sst>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Aptos Narrow"/>
      <charset val="134"/>
    </font>
    <font>
      <sz val="11"/>
      <color rgb="FF1B1C1D"/>
      <name val="Arial"/>
      <family val="2"/>
    </font>
    <font>
      <sz val="11"/>
      <color indexed="8"/>
      <name val="Aptos Narrow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9" fontId="1" fillId="0" borderId="0" xfId="0" applyNumberFormat="1" applyFont="1" applyFill="1" applyBorder="1" applyAlignment="1" applyProtection="1"/>
    <xf numFmtId="8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 applyProtection="1"/>
    <xf numFmtId="6" fontId="1" fillId="0" borderId="2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463668</xdr:colOff>
      <xdr:row>6</xdr:row>
      <xdr:rowOff>120695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ABCEC-2B0B-A507-D47C-680CD1224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0" y="381000"/>
          <a:ext cx="2292468" cy="882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2EA0-0491-4103-B857-39BE0104829A}">
  <dimension ref="A1:I33"/>
  <sheetViews>
    <sheetView tabSelected="1" zoomScale="56" zoomScaleNormal="100" workbookViewId="0">
      <selection activeCell="I17" sqref="I17"/>
    </sheetView>
  </sheetViews>
  <sheetFormatPr defaultRowHeight="14.5" x14ac:dyDescent="0.35"/>
  <cols>
    <col min="1" max="1" width="19.36328125" customWidth="1"/>
    <col min="2" max="2" width="10.81640625" bestFit="1" customWidth="1"/>
  </cols>
  <sheetData>
    <row r="1" spans="1:9" ht="15" x14ac:dyDescent="0.35">
      <c r="A1" s="1" t="s">
        <v>9</v>
      </c>
      <c r="B1" s="2">
        <v>0.1</v>
      </c>
      <c r="C1" s="1"/>
      <c r="D1" s="1"/>
      <c r="E1" s="1"/>
      <c r="F1" s="1"/>
      <c r="G1" s="1"/>
    </row>
    <row r="2" spans="1:9" ht="15" x14ac:dyDescent="0.35">
      <c r="A2" s="1"/>
      <c r="B2" s="1"/>
      <c r="C2" s="1"/>
      <c r="D2" s="1"/>
      <c r="E2" s="1"/>
      <c r="F2" s="1"/>
      <c r="G2" s="1"/>
      <c r="I2" t="s">
        <v>15</v>
      </c>
    </row>
    <row r="3" spans="1:9" ht="15" x14ac:dyDescent="0.3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1" t="s">
        <v>6</v>
      </c>
    </row>
    <row r="4" spans="1:9" ht="15" x14ac:dyDescent="0.35">
      <c r="A4" s="7" t="s">
        <v>10</v>
      </c>
      <c r="B4" s="7" t="s">
        <v>7</v>
      </c>
      <c r="C4" s="8">
        <v>2000</v>
      </c>
      <c r="D4" s="8">
        <v>3000</v>
      </c>
      <c r="E4" s="8">
        <v>4000</v>
      </c>
      <c r="F4" s="8">
        <v>5000</v>
      </c>
      <c r="G4" s="1"/>
    </row>
    <row r="5" spans="1:9" ht="15" x14ac:dyDescent="0.35">
      <c r="A5" s="7" t="s">
        <v>11</v>
      </c>
      <c r="B5" s="8">
        <v>5000</v>
      </c>
      <c r="C5" s="8">
        <v>1000</v>
      </c>
      <c r="D5" s="8">
        <v>1000</v>
      </c>
      <c r="E5" s="8">
        <v>1000</v>
      </c>
      <c r="F5" s="8">
        <v>1000</v>
      </c>
      <c r="G5" s="1"/>
    </row>
    <row r="6" spans="1:9" ht="15" x14ac:dyDescent="0.35">
      <c r="A6" s="7" t="s">
        <v>12</v>
      </c>
      <c r="B6" s="8">
        <v>-5000</v>
      </c>
      <c r="C6" s="8">
        <v>1000</v>
      </c>
      <c r="D6" s="8">
        <v>2000</v>
      </c>
      <c r="E6" s="8">
        <v>3000</v>
      </c>
      <c r="F6" s="8">
        <v>4000</v>
      </c>
      <c r="G6" s="1"/>
    </row>
    <row r="7" spans="1:9" ht="15" x14ac:dyDescent="0.35">
      <c r="A7" s="1" t="s">
        <v>8</v>
      </c>
      <c r="B7" s="3">
        <f>NPV(B1, C6:F6) + B6</f>
        <v>2547.9816952393949</v>
      </c>
      <c r="C7" s="3"/>
      <c r="D7" s="3"/>
      <c r="E7" s="3"/>
      <c r="F7" s="1"/>
      <c r="G7" s="1"/>
    </row>
    <row r="8" spans="1:9" ht="15" x14ac:dyDescent="0.35">
      <c r="A8" s="1"/>
      <c r="B8" s="1"/>
      <c r="C8" s="1"/>
      <c r="D8" s="1"/>
      <c r="E8" s="1"/>
      <c r="F8" s="1"/>
      <c r="G8" s="1"/>
    </row>
    <row r="9" spans="1:9" ht="15" x14ac:dyDescent="0.35">
      <c r="A9" s="1"/>
      <c r="B9" s="1"/>
      <c r="C9" s="1"/>
      <c r="D9" s="1"/>
      <c r="E9" s="1"/>
      <c r="F9" s="1"/>
      <c r="G9" s="1"/>
      <c r="I9" t="s">
        <v>16</v>
      </c>
    </row>
    <row r="10" spans="1:9" ht="15" x14ac:dyDescent="0.35">
      <c r="A10" s="7" t="s">
        <v>18</v>
      </c>
      <c r="B10" s="7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1" t="s">
        <v>6</v>
      </c>
      <c r="I10" s="1" t="s">
        <v>17</v>
      </c>
    </row>
    <row r="11" spans="1:9" ht="15" x14ac:dyDescent="0.35">
      <c r="A11" s="7" t="s">
        <v>10</v>
      </c>
      <c r="B11" s="8">
        <v>1000</v>
      </c>
      <c r="C11" s="8">
        <v>2000</v>
      </c>
      <c r="D11" s="8">
        <v>4000</v>
      </c>
      <c r="E11" s="8">
        <v>4000</v>
      </c>
      <c r="F11" s="8">
        <v>4000</v>
      </c>
      <c r="G11" s="1"/>
    </row>
    <row r="12" spans="1:9" ht="15" x14ac:dyDescent="0.35">
      <c r="A12" s="7" t="s">
        <v>13</v>
      </c>
      <c r="B12" s="8">
        <v>2000</v>
      </c>
      <c r="C12" s="8">
        <v>2000</v>
      </c>
      <c r="D12" s="8">
        <v>2000</v>
      </c>
      <c r="E12" s="8">
        <v>2000</v>
      </c>
      <c r="F12" s="8">
        <v>2000</v>
      </c>
      <c r="G12" s="1"/>
    </row>
    <row r="13" spans="1:9" ht="15" x14ac:dyDescent="0.35">
      <c r="A13" s="7" t="s">
        <v>14</v>
      </c>
      <c r="B13" s="8">
        <v>-1000</v>
      </c>
      <c r="C13" s="7" t="s">
        <v>7</v>
      </c>
      <c r="D13" s="8">
        <v>2000</v>
      </c>
      <c r="E13" s="8">
        <v>2000</v>
      </c>
      <c r="F13" s="8">
        <v>2000</v>
      </c>
      <c r="G13" s="1"/>
    </row>
    <row r="14" spans="1:9" ht="15" x14ac:dyDescent="0.35">
      <c r="A14" s="1" t="s">
        <v>8</v>
      </c>
      <c r="B14" s="3">
        <f>NPV(B1, C13:F13) + B13</f>
        <v>3973.7039819684442</v>
      </c>
      <c r="C14" s="1"/>
      <c r="D14" s="1"/>
      <c r="E14" s="1"/>
      <c r="F14" s="1"/>
      <c r="G14" s="1"/>
    </row>
    <row r="17" spans="1:6" ht="15" thickBot="1" x14ac:dyDescent="0.4">
      <c r="A17" s="9" t="s">
        <v>35</v>
      </c>
    </row>
    <row r="18" spans="1:6" ht="15" thickBot="1" x14ac:dyDescent="0.4">
      <c r="A18" s="4" t="s">
        <v>19</v>
      </c>
      <c r="B18" s="4" t="s">
        <v>20</v>
      </c>
      <c r="C18" s="4" t="s">
        <v>21</v>
      </c>
      <c r="D18" s="4" t="s">
        <v>22</v>
      </c>
      <c r="E18" s="4" t="s">
        <v>23</v>
      </c>
      <c r="F18" s="4" t="s">
        <v>24</v>
      </c>
    </row>
    <row r="19" spans="1:6" ht="15" thickBot="1" x14ac:dyDescent="0.4">
      <c r="A19" s="4" t="s">
        <v>9</v>
      </c>
      <c r="B19" s="5">
        <v>0.08</v>
      </c>
      <c r="C19" s="4"/>
      <c r="D19" s="4"/>
      <c r="E19" s="4"/>
      <c r="F19" s="4"/>
    </row>
    <row r="20" spans="1:6" ht="28.5" thickBot="1" x14ac:dyDescent="0.4">
      <c r="A20" s="4" t="s">
        <v>25</v>
      </c>
      <c r="B20" s="4"/>
      <c r="C20" s="4"/>
      <c r="D20" s="4"/>
      <c r="E20" s="4"/>
      <c r="F20" s="4"/>
    </row>
    <row r="21" spans="1:6" ht="15" thickBot="1" x14ac:dyDescent="0.4">
      <c r="A21" s="4"/>
      <c r="B21" s="4">
        <v>0</v>
      </c>
      <c r="C21" s="4">
        <v>1</v>
      </c>
      <c r="D21" s="4">
        <v>2</v>
      </c>
      <c r="E21" s="4">
        <v>3</v>
      </c>
      <c r="F21" s="4" t="s">
        <v>26</v>
      </c>
    </row>
    <row r="22" spans="1:6" ht="15" thickBot="1" x14ac:dyDescent="0.4">
      <c r="A22" s="4" t="s">
        <v>11</v>
      </c>
      <c r="B22" s="6">
        <v>140000</v>
      </c>
      <c r="C22" s="6">
        <v>40000</v>
      </c>
      <c r="D22" s="6">
        <v>40000</v>
      </c>
      <c r="E22" s="6">
        <v>40000</v>
      </c>
      <c r="F22" s="4"/>
    </row>
    <row r="23" spans="1:6" ht="15" thickBot="1" x14ac:dyDescent="0.4">
      <c r="A23" s="4" t="s">
        <v>27</v>
      </c>
      <c r="B23" s="4">
        <v>1</v>
      </c>
      <c r="C23" s="4">
        <v>0.93</v>
      </c>
      <c r="D23" s="4">
        <v>0.86</v>
      </c>
      <c r="E23" s="4">
        <v>0.79</v>
      </c>
      <c r="F23" s="4"/>
    </row>
    <row r="24" spans="1:6" ht="15" thickBot="1" x14ac:dyDescent="0.4">
      <c r="A24" s="4" t="s">
        <v>28</v>
      </c>
      <c r="B24" s="4">
        <f>B22*B23</f>
        <v>140000</v>
      </c>
      <c r="C24" s="4">
        <f t="shared" ref="C24:E24" si="0">C22*C23</f>
        <v>37200</v>
      </c>
      <c r="D24" s="4">
        <f t="shared" si="0"/>
        <v>34400</v>
      </c>
      <c r="E24" s="4">
        <f t="shared" si="0"/>
        <v>31600</v>
      </c>
      <c r="F24">
        <f>SUM(B24:E24)</f>
        <v>243200</v>
      </c>
    </row>
    <row r="25" spans="1:6" ht="15" thickBot="1" x14ac:dyDescent="0.4">
      <c r="A25" s="4"/>
      <c r="B25" s="4"/>
      <c r="C25" s="4"/>
      <c r="D25" s="4"/>
      <c r="E25" s="4"/>
      <c r="F25" s="4"/>
    </row>
    <row r="26" spans="1:6" ht="15" thickBot="1" x14ac:dyDescent="0.4">
      <c r="A26" s="4" t="s">
        <v>10</v>
      </c>
      <c r="B26" s="4" t="s">
        <v>29</v>
      </c>
      <c r="C26" s="6">
        <v>200000</v>
      </c>
      <c r="D26" s="6">
        <v>200000</v>
      </c>
      <c r="E26" s="6">
        <v>200000</v>
      </c>
      <c r="F26" s="4"/>
    </row>
    <row r="27" spans="1:6" ht="15" thickBot="1" x14ac:dyDescent="0.4">
      <c r="A27" s="4" t="s">
        <v>27</v>
      </c>
      <c r="B27" s="4">
        <v>1</v>
      </c>
      <c r="C27" s="4">
        <v>0.93</v>
      </c>
      <c r="D27" s="4">
        <v>0.86</v>
      </c>
      <c r="E27" s="4">
        <v>0.79</v>
      </c>
      <c r="F27" s="4"/>
    </row>
    <row r="28" spans="1:6" ht="15" thickBot="1" x14ac:dyDescent="0.4">
      <c r="A28" s="4" t="s">
        <v>30</v>
      </c>
      <c r="B28" s="4">
        <v>0</v>
      </c>
      <c r="C28">
        <f>C26*C27</f>
        <v>186000</v>
      </c>
      <c r="D28" s="10">
        <f>D26*D27</f>
        <v>172000</v>
      </c>
      <c r="E28" s="10">
        <f>E26*E27</f>
        <v>158000</v>
      </c>
      <c r="F28" s="4">
        <f>SUM(B28:E28)</f>
        <v>516000</v>
      </c>
    </row>
    <row r="29" spans="1:6" ht="15" thickBot="1" x14ac:dyDescent="0.4">
      <c r="A29" s="4"/>
      <c r="B29" s="4"/>
      <c r="C29" s="4"/>
      <c r="D29" s="4"/>
      <c r="E29" s="4"/>
      <c r="F29" s="4"/>
    </row>
    <row r="30" spans="1:6" ht="28.5" thickBot="1" x14ac:dyDescent="0.4">
      <c r="A30" s="4" t="s">
        <v>31</v>
      </c>
      <c r="B30" s="4">
        <f>B28-B24</f>
        <v>-140000</v>
      </c>
      <c r="C30" s="4">
        <f t="shared" ref="C30:E30" si="1">C28-C24</f>
        <v>148800</v>
      </c>
      <c r="D30" s="4">
        <f t="shared" si="1"/>
        <v>137600</v>
      </c>
      <c r="E30" s="4">
        <f t="shared" si="1"/>
        <v>126400</v>
      </c>
      <c r="F30" s="4">
        <f>F28-F24</f>
        <v>272800</v>
      </c>
    </row>
    <row r="31" spans="1:6" ht="28.5" thickBot="1" x14ac:dyDescent="0.4">
      <c r="A31" s="4" t="s">
        <v>32</v>
      </c>
      <c r="B31" s="4">
        <f>B30</f>
        <v>-140000</v>
      </c>
      <c r="C31" s="4">
        <f>B31+C30</f>
        <v>8800</v>
      </c>
      <c r="D31" s="4">
        <f>C31+D30</f>
        <v>146400</v>
      </c>
      <c r="E31" s="4">
        <f>D31+E30</f>
        <v>272800</v>
      </c>
      <c r="F31" s="4">
        <f>E31+F30</f>
        <v>545600</v>
      </c>
    </row>
    <row r="32" spans="1:6" ht="15" thickBot="1" x14ac:dyDescent="0.4">
      <c r="A32" s="4"/>
      <c r="B32" s="4"/>
      <c r="C32" s="4"/>
      <c r="D32" s="4"/>
      <c r="E32" s="4"/>
      <c r="F32" s="4"/>
    </row>
    <row r="33" spans="1:6" ht="15" thickBot="1" x14ac:dyDescent="0.4">
      <c r="A33" s="4" t="s">
        <v>33</v>
      </c>
      <c r="B33" s="4" t="s">
        <v>34</v>
      </c>
      <c r="D33" s="4"/>
      <c r="E33" s="4"/>
      <c r="F33" s="4"/>
    </row>
  </sheetData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Võ Nguyễn Vân</dc:creator>
  <cp:lastModifiedBy>Anh Võ Nguyễn Vân</cp:lastModifiedBy>
  <dcterms:created xsi:type="dcterms:W3CDTF">2025-11-10T08:57:06Z</dcterms:created>
  <dcterms:modified xsi:type="dcterms:W3CDTF">2025-11-10T10:10:21Z</dcterms:modified>
</cp:coreProperties>
</file>